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ätningar" sheetId="1" state="visible" r:id="rId3"/>
    <sheet name="Avvikelse" sheetId="2" state="visible" r:id="rId4"/>
    <sheet name="Återstår" sheetId="3" state="visible" r:id="rId5"/>
    <sheet name="Noter"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<sst xmlns="http://schemas.openxmlformats.org/spreadsheetml/2006/main" count="104" uniqueCount="70">
  <si>
    <t xml:space="preserve">R008 (#11): tid från Publish till synlig på sidan</t>
  </si>
  <si>
    <t xml:space="preserve">Krav: publicerat innehåll syns på sidan inom en minut. Blå text = inmatade värden, svart = formler. Källa: terminalloggen från 2026-10-12.</t>
  </si>
  <si>
    <t xml:space="preserve">Körning</t>
  </si>
  <si>
    <t xml:space="preserve">Märke</t>
  </si>
  <si>
    <t xml:space="preserve">Tid (s)</t>
  </si>
  <si>
    <t xml:space="preserve">Metod</t>
  </si>
  <si>
    <t xml:space="preserve">Räknas i sammanfattning</t>
  </si>
  <si>
    <t xml:space="preserve">Förutsättning bekräftad</t>
  </si>
  <si>
    <t xml:space="preserve">Webhook</t>
  </si>
  <si>
    <t xml:space="preserve">Miljö</t>
  </si>
  <si>
    <t xml:space="preserve">Kommentar</t>
  </si>
  <si>
    <t xml:space="preserve">tid-test-1</t>
  </si>
  <si>
    <t xml:space="preserve">Klockan före Publish</t>
  </si>
  <si>
    <t xml:space="preserve">Ej bekräftad</t>
  </si>
  <si>
    <t xml:space="preserve">Okänd</t>
  </si>
  <si>
    <t xml:space="preserve">Lokal stack</t>
  </si>
  <si>
    <t xml:space="preserve">Klockan startade före Publish. Värdet kan bara vara för högt, så det är en övre gräns.</t>
  </si>
  <si>
    <t xml:space="preserve">tid-test-2</t>
  </si>
  <si>
    <t xml:space="preserve">Enter-metoden</t>
  </si>
  <si>
    <t xml:space="preserve">Klockan startade vid Enter. Ordningen mellan Enter och Publish varierar, så värdet kan vara för lågt eller för högt.</t>
  </si>
  <si>
    <t xml:space="preserve">tid-test-3</t>
  </si>
  <si>
    <t xml:space="preserve">tid-test-4</t>
  </si>
  <si>
    <t xml:space="preserve">tid-test-5</t>
  </si>
  <si>
    <t xml:space="preserve">Klockan startade före Publish. Värdet kan bara vara för högt, så det är en övre gräns. Nära gränsen på 60 s.</t>
  </si>
  <si>
    <t xml:space="preserve">tid-test-6</t>
  </si>
  <si>
    <t xml:space="preserve">Sammanfattning (bara körningar som räknas)</t>
  </si>
  <si>
    <t xml:space="preserve">Krav (s)</t>
  </si>
  <si>
    <t xml:space="preserve">Källa: R008 i requirements.md (inom en minut).</t>
  </si>
  <si>
    <t xml:space="preserve">Minsta antal körningar</t>
  </si>
  <si>
    <t xml:space="preserve">Antagande: gränsen på 5 körningar kommer från rådet i chatten, inte från dokumenten.</t>
  </si>
  <si>
    <t xml:space="preserve">Antal körningar som räknas</t>
  </si>
  <si>
    <t xml:space="preserve">Enter-körningarna räknas inte, eftersom deras värden kan vara för låga.</t>
  </si>
  <si>
    <t xml:space="preserve">Kortaste övre gräns (s)</t>
  </si>
  <si>
    <t xml:space="preserve">Längsta övre gräns (s)</t>
  </si>
  <si>
    <t xml:space="preserve">Medel av övre gränser (s)</t>
  </si>
  <si>
    <t xml:space="preserve">Marginal till kravet (s)</t>
  </si>
  <si>
    <t xml:space="preserve">Körningar över kravet (alla)</t>
  </si>
  <si>
    <t xml:space="preserve">Förutsättningen gäller körningarna där klockan startade före Publish.</t>
  </si>
  <si>
    <t xml:space="preserve">Förutsättning bekräftad?</t>
  </si>
  <si>
    <t xml:space="preserve">Status</t>
  </si>
  <si>
    <t xml:space="preserve">Tillräckligt underlag?</t>
  </si>
  <si>
    <t xml:space="preserve">Värden som inte stämmer med tidigare inklistrade resultat</t>
  </si>
  <si>
    <t xml:space="preserve">Tidigare inklistrat (s)</t>
  </si>
  <si>
    <t xml:space="preserve">Terminalloggen (s)</t>
  </si>
  <si>
    <t xml:space="preserve">Skillnad (s)</t>
  </si>
  <si>
    <t xml:space="preserve">Loggen är det enda fullständiga underlaget, så Mätningar använder den. Det är inte känt vilket värde som hör till vilken publicering om märkena kördes om.</t>
  </si>
  <si>
    <t xml:space="preserve">Vad som återstår för #11</t>
  </si>
  <si>
    <t xml:space="preserve">Nr</t>
  </si>
  <si>
    <t xml:space="preserve">Uppgift</t>
  </si>
  <si>
    <t xml:space="preserve">Varför</t>
  </si>
  <si>
    <t xml:space="preserve">Minst två körningar till med klockan före Publish, eller skriptet som mäter mot Sanitys _updatedAt.</t>
  </si>
  <si>
    <t xml:space="preserve">Då räknas fem körningar. Värdet 49 s ligger nära 60 s, så ett fjärde värde kan hamna över.</t>
  </si>
  <si>
    <t xml:space="preserve">Öppen</t>
  </si>
  <si>
    <t xml:space="preserve">Bekräfta för körning 1, 5 och 6 att skriptet startade före Publish och att märket inte låg på sidan.</t>
  </si>
  <si>
    <t xml:space="preserve">Bara då är värdena säkra övre gränser. Sätt Ja i kolumn F.</t>
  </si>
  <si>
    <t xml:space="preserve">Fallback-fallet: stäng av webhooken, eller peka den mot en adress som inte svarar, och mät igen.</t>
  </si>
  <si>
    <t xml:space="preserve">Visar cachens utgångstid och värsta fallet. #59 kräver det separat.</t>
  </si>
  <si>
    <t xml:space="preserve">Mät i en miljö som Sanity når utifrån, till exempel en delad stack eller testmiljön.</t>
  </si>
  <si>
    <t xml:space="preserve">Visar att webhooken faktiskt kommer fram. Mot localhost kan Sanity troligen inte skicka något.</t>
  </si>
  <si>
    <t xml:space="preserve">Skriv resultatet i testrecordet, utan tokens, hemligheter eller medlemsdata.</t>
  </si>
  <si>
    <t xml:space="preserve">Sista kriteriet i #59. Ta med metoden och vilka värden som inte räknas.</t>
  </si>
  <si>
    <t xml:space="preserve">Antaganden och tolkning</t>
  </si>
  <si>
    <t xml:space="preserve">Källa: PowerShell-loggen som användaren klistrade in 2026-10-12. Skriptet frågar sidan varje sekund, så ett värde kan vara upp till en sekund för högt.</t>
  </si>
  <si>
    <t xml:space="preserve">Körning 1, 5 och 6 har klockan före Publish. Värdet kan då bara vara för högt, så det är en övre gräns. Det förutsätter att märket inte redan låg på sidan, vilket inte är bekräftat.</t>
  </si>
  <si>
    <t xml:space="preserve">Körning 2, 3 och 4 startade klockan vid Enter. Tiden mellan Enter och Publish varierar för hand, så de räknas inte. Ett tidigare försök gav 0 s av det skälet.</t>
  </si>
  <si>
    <t xml:space="preserve">Alla körningar är gjorda i den lokala stacken (localhost:8000). Hur webhooken är kopplad där är okänt, och Sanity kan troligen inte nå localhost. Det är inte kontrollerat.</t>
  </si>
  <si>
    <t xml:space="preserve">Tolkning (antagande): spridningen från 4 till 49 s tyder på cachens utgångstid mer än på att webhooken tömmer cachen direkt. Det är ett tecken och inget bevis.</t>
  </si>
  <si>
    <t xml:space="preserve">Planen anger att cachen går ut inom en minut om webhooken fallerar. Det lämnar ingen marginal till kravet, så värsta fallet kan ligga på gränsen. Det är en slutsats av planens siffror och ingen uppgift ur dokumenten.</t>
  </si>
  <si>
    <t xml:space="preserve">Gränsen på 5 körningar är ett antagande från rådet i chatten. Dokumenten anger inget antal.</t>
  </si>
  <si>
    <t xml:space="preserve">Använd bara påhittade titlar och märken. Inga tokens, hemligheter eller medlemsdata hör hemma i arket.</t>
  </si>
</sst>
</file>

<file path=xl/styles.xml><?xml version="1.0" encoding="utf-8"?>
<styleSheet xmlns="http://schemas.openxmlformats.org/spreadsheetml/2006/main">
  <numFmts count="4">
    <numFmt numFmtId="164" formatCode="General"/>
    <numFmt numFmtId="165" formatCode="0"/>
    <numFmt numFmtId="166" formatCode="General"/>
    <numFmt numFmtId="167" formatCode="0.0"/>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sz val="10"/>
      <color rgb="FF0000FF"/>
      <name val="Arial"/>
      <family val="0"/>
      <charset val="1"/>
    </font>
  </fonts>
  <fills count="4">
    <fill>
      <patternFill patternType="none"/>
    </fill>
    <fill>
      <patternFill patternType="gray125"/>
    </fill>
    <fill>
      <patternFill patternType="solid">
        <fgColor rgb="FFD9E1F2"/>
        <bgColor rgb="FFCC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6" fontId="5" fillId="0" borderId="1" xfId="0" applyFont="true" applyBorder="true" applyAlignment="true" applyProtection="false">
      <alignment horizontal="left" vertical="top" textRotation="0" wrapText="true" indent="0" shrinkToFit="false"/>
      <protection locked="true" hidden="false"/>
    </xf>
    <xf numFmtId="165" fontId="5" fillId="0" borderId="1" xfId="0" applyFont="true" applyBorder="true" applyAlignment="true" applyProtection="false">
      <alignment horizontal="left" vertical="top" textRotation="0" wrapText="true" indent="0" shrinkToFit="false"/>
      <protection locked="true" hidden="false"/>
    </xf>
    <xf numFmtId="167" fontId="5"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9"/>
    <col collapsed="false" customWidth="true" hidden="false" outlineLevel="0" max="4" min="4" style="0" width="21"/>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13"/>
    <col collapsed="false" customWidth="true" hidden="false" outlineLevel="0" max="9" min="9"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42" hidden="false" customHeight="true" outlineLevel="0" collapsed="false">
      <c r="A4" s="3" t="s">
        <v>2</v>
      </c>
      <c r="B4" s="3" t="s">
        <v>3</v>
      </c>
      <c r="C4" s="3" t="s">
        <v>4</v>
      </c>
      <c r="D4" s="3" t="s">
        <v>5</v>
      </c>
      <c r="E4" s="3" t="s">
        <v>6</v>
      </c>
      <c r="F4" s="3" t="s">
        <v>7</v>
      </c>
      <c r="G4" s="3" t="s">
        <v>8</v>
      </c>
      <c r="H4" s="3" t="s">
        <v>9</v>
      </c>
      <c r="I4" s="3" t="s">
        <v>10</v>
      </c>
    </row>
    <row r="5" customFormat="false" ht="15" hidden="false" customHeight="false" outlineLevel="0" collapsed="false">
      <c r="A5" s="4" t="n">
        <v>1</v>
      </c>
      <c r="B5" s="4" t="s">
        <v>11</v>
      </c>
      <c r="C5" s="5" t="n">
        <v>46</v>
      </c>
      <c r="D5" s="4" t="s">
        <v>12</v>
      </c>
      <c r="E5" s="6" t="str">
        <f aca="false">IF(C5="","",IF(D5="Enter-metoden","Nej","Ja"))</f>
        <v>Ja</v>
      </c>
      <c r="F5" s="4" t="s">
        <v>13</v>
      </c>
      <c r="G5" s="4" t="s">
        <v>14</v>
      </c>
      <c r="H5" s="4" t="s">
        <v>15</v>
      </c>
      <c r="I5" s="4" t="s">
        <v>16</v>
      </c>
    </row>
    <row r="6" customFormat="false" ht="23.85" hidden="false" customHeight="false" outlineLevel="0" collapsed="false">
      <c r="A6" s="4" t="n">
        <v>2</v>
      </c>
      <c r="B6" s="4" t="s">
        <v>17</v>
      </c>
      <c r="C6" s="5" t="n">
        <v>18</v>
      </c>
      <c r="D6" s="4" t="s">
        <v>18</v>
      </c>
      <c r="E6" s="6" t="str">
        <f aca="false">IF(C6="","",IF(D6="Enter-metoden","Nej","Ja"))</f>
        <v>Nej</v>
      </c>
      <c r="F6" s="4"/>
      <c r="G6" s="4" t="s">
        <v>14</v>
      </c>
      <c r="H6" s="4" t="s">
        <v>15</v>
      </c>
      <c r="I6" s="4" t="s">
        <v>19</v>
      </c>
    </row>
    <row r="7" customFormat="false" ht="23.85" hidden="false" customHeight="false" outlineLevel="0" collapsed="false">
      <c r="A7" s="4" t="n">
        <v>3</v>
      </c>
      <c r="B7" s="4" t="s">
        <v>20</v>
      </c>
      <c r="C7" s="5" t="n">
        <v>4</v>
      </c>
      <c r="D7" s="4" t="s">
        <v>18</v>
      </c>
      <c r="E7" s="6" t="str">
        <f aca="false">IF(C7="","",IF(D7="Enter-metoden","Nej","Ja"))</f>
        <v>Nej</v>
      </c>
      <c r="F7" s="4"/>
      <c r="G7" s="4" t="s">
        <v>14</v>
      </c>
      <c r="H7" s="4" t="s">
        <v>15</v>
      </c>
      <c r="I7" s="4" t="s">
        <v>19</v>
      </c>
    </row>
    <row r="8" customFormat="false" ht="23.85" hidden="false" customHeight="false" outlineLevel="0" collapsed="false">
      <c r="A8" s="4" t="n">
        <v>4</v>
      </c>
      <c r="B8" s="4" t="s">
        <v>21</v>
      </c>
      <c r="C8" s="5" t="n">
        <v>5</v>
      </c>
      <c r="D8" s="4" t="s">
        <v>18</v>
      </c>
      <c r="E8" s="6" t="str">
        <f aca="false">IF(C8="","",IF(D8="Enter-metoden","Nej","Ja"))</f>
        <v>Nej</v>
      </c>
      <c r="F8" s="4"/>
      <c r="G8" s="4" t="s">
        <v>14</v>
      </c>
      <c r="H8" s="4" t="s">
        <v>15</v>
      </c>
      <c r="I8" s="4" t="s">
        <v>19</v>
      </c>
    </row>
    <row r="9" customFormat="false" ht="23.85" hidden="false" customHeight="false" outlineLevel="0" collapsed="false">
      <c r="A9" s="4" t="n">
        <v>5</v>
      </c>
      <c r="B9" s="4" t="s">
        <v>22</v>
      </c>
      <c r="C9" s="5" t="n">
        <v>49</v>
      </c>
      <c r="D9" s="4" t="s">
        <v>12</v>
      </c>
      <c r="E9" s="6" t="str">
        <f aca="false">IF(C9="","",IF(D9="Enter-metoden","Nej","Ja"))</f>
        <v>Ja</v>
      </c>
      <c r="F9" s="4" t="s">
        <v>13</v>
      </c>
      <c r="G9" s="4" t="s">
        <v>14</v>
      </c>
      <c r="H9" s="4" t="s">
        <v>15</v>
      </c>
      <c r="I9" s="4" t="s">
        <v>23</v>
      </c>
    </row>
    <row r="10" customFormat="false" ht="15" hidden="false" customHeight="false" outlineLevel="0" collapsed="false">
      <c r="A10" s="4" t="n">
        <v>6</v>
      </c>
      <c r="B10" s="4" t="s">
        <v>24</v>
      </c>
      <c r="C10" s="5" t="n">
        <v>13</v>
      </c>
      <c r="D10" s="4" t="s">
        <v>12</v>
      </c>
      <c r="E10" s="6" t="str">
        <f aca="false">IF(C10="","",IF(D10="Enter-metoden","Nej","Ja"))</f>
        <v>Ja</v>
      </c>
      <c r="F10" s="4" t="s">
        <v>13</v>
      </c>
      <c r="G10" s="4" t="s">
        <v>14</v>
      </c>
      <c r="H10" s="4" t="s">
        <v>15</v>
      </c>
      <c r="I10" s="4" t="s">
        <v>16</v>
      </c>
    </row>
    <row r="11" customFormat="false" ht="15" hidden="false" customHeight="false" outlineLevel="0" collapsed="false">
      <c r="A11" s="4" t="n">
        <v>7</v>
      </c>
      <c r="B11" s="4"/>
      <c r="C11" s="5"/>
      <c r="D11" s="4"/>
      <c r="E11" s="6" t="str">
        <f aca="false">IF(C11="","",IF(D11="Enter-metoden","Nej","Ja"))</f>
        <v/>
      </c>
      <c r="F11" s="4"/>
      <c r="G11" s="4"/>
      <c r="H11" s="4" t="s">
        <v>15</v>
      </c>
      <c r="I11" s="4"/>
    </row>
    <row r="12" customFormat="false" ht="15" hidden="false" customHeight="false" outlineLevel="0" collapsed="false">
      <c r="A12" s="4" t="n">
        <v>8</v>
      </c>
      <c r="B12" s="4"/>
      <c r="C12" s="5"/>
      <c r="D12" s="4"/>
      <c r="E12" s="6" t="str">
        <f aca="false">IF(C12="","",IF(D12="Enter-metoden","Nej","Ja"))</f>
        <v/>
      </c>
      <c r="F12" s="4"/>
      <c r="G12" s="4"/>
      <c r="H12" s="4" t="s">
        <v>15</v>
      </c>
      <c r="I12" s="4"/>
    </row>
    <row r="13" customFormat="false" ht="15" hidden="false" customHeight="false" outlineLevel="0" collapsed="false">
      <c r="A13" s="4" t="n">
        <v>9</v>
      </c>
      <c r="B13" s="4"/>
      <c r="C13" s="5"/>
      <c r="D13" s="4"/>
      <c r="E13" s="6" t="str">
        <f aca="false">IF(C13="","",IF(D13="Enter-metoden","Nej","Ja"))</f>
        <v/>
      </c>
      <c r="F13" s="4"/>
      <c r="G13" s="4"/>
      <c r="H13" s="4" t="s">
        <v>15</v>
      </c>
      <c r="I13" s="4"/>
    </row>
    <row r="14" customFormat="false" ht="15" hidden="false" customHeight="false" outlineLevel="0" collapsed="false">
      <c r="A14" s="4" t="n">
        <v>10</v>
      </c>
      <c r="B14" s="4"/>
      <c r="C14" s="5"/>
      <c r="D14" s="4"/>
      <c r="E14" s="6" t="str">
        <f aca="false">IF(C14="","",IF(D14="Enter-metoden","Nej","Ja"))</f>
        <v/>
      </c>
      <c r="F14" s="4"/>
      <c r="G14" s="4"/>
      <c r="H14" s="4" t="s">
        <v>15</v>
      </c>
      <c r="I14" s="4"/>
    </row>
    <row r="16" customFormat="false" ht="15" hidden="false" customHeight="false" outlineLevel="0" collapsed="false">
      <c r="A16" s="7" t="s">
        <v>25</v>
      </c>
    </row>
    <row r="17" customFormat="false" ht="15" hidden="false" customHeight="false" outlineLevel="0" collapsed="false">
      <c r="A17" s="8" t="s">
        <v>26</v>
      </c>
      <c r="B17" s="9" t="n">
        <v>60</v>
      </c>
      <c r="C17" s="2" t="s">
        <v>27</v>
      </c>
    </row>
    <row r="18" customFormat="false" ht="15" hidden="false" customHeight="false" outlineLevel="0" collapsed="false">
      <c r="A18" s="8" t="s">
        <v>28</v>
      </c>
      <c r="B18" s="9" t="n">
        <v>5</v>
      </c>
      <c r="C18" s="2" t="s">
        <v>29</v>
      </c>
    </row>
    <row r="19" customFormat="false" ht="15" hidden="false" customHeight="false" outlineLevel="0" collapsed="false">
      <c r="A19" s="8" t="s">
        <v>30</v>
      </c>
      <c r="B19" s="10" t="n">
        <f aca="false">COUNTIFS(E5:E14,"Ja")</f>
        <v>3</v>
      </c>
      <c r="C19" s="2" t="s">
        <v>31</v>
      </c>
    </row>
    <row r="20" customFormat="false" ht="15" hidden="false" customHeight="false" outlineLevel="0" collapsed="false">
      <c r="A20" s="8" t="s">
        <v>32</v>
      </c>
      <c r="B20" s="11" t="n">
        <f aca="false">IF(B19=0,"",_xlfn.MINIFS(C5:C14,E5:E14,"Ja"))</f>
        <v>13</v>
      </c>
    </row>
    <row r="21" customFormat="false" ht="15" hidden="false" customHeight="false" outlineLevel="0" collapsed="false">
      <c r="A21" s="8" t="s">
        <v>33</v>
      </c>
      <c r="B21" s="11" t="n">
        <f aca="false">IF(B19=0,"",_xlfn.MAXIFS(C5:C14,E5:E14,"Ja"))</f>
        <v>49</v>
      </c>
    </row>
    <row r="22" customFormat="false" ht="15" hidden="false" customHeight="false" outlineLevel="0" collapsed="false">
      <c r="A22" s="8" t="s">
        <v>34</v>
      </c>
      <c r="B22" s="12" t="n">
        <f aca="false">IF(B19=0,"",AVERAGEIFS(C5:C14,E5:E14,"Ja"))</f>
        <v>36</v>
      </c>
    </row>
    <row r="23" customFormat="false" ht="15" hidden="false" customHeight="false" outlineLevel="0" collapsed="false">
      <c r="A23" s="8" t="s">
        <v>35</v>
      </c>
      <c r="B23" s="11" t="n">
        <f aca="false">IF(B19=0,"",B17-B21)</f>
        <v>11</v>
      </c>
    </row>
    <row r="24" customFormat="false" ht="15" hidden="false" customHeight="false" outlineLevel="0" collapsed="false">
      <c r="A24" s="8" t="s">
        <v>36</v>
      </c>
      <c r="B24" s="10" t="n">
        <f aca="false">COUNTIF(C5:C14,"&gt;"&amp;B17)</f>
        <v>0</v>
      </c>
      <c r="C24" s="2" t="s">
        <v>37</v>
      </c>
    </row>
    <row r="25" customFormat="false" ht="57.45" hidden="false" customHeight="false" outlineLevel="0" collapsed="false">
      <c r="A25" s="8" t="s">
        <v>38</v>
      </c>
      <c r="B25" s="10" t="str">
        <f aca="false">IF(COUNTIFS(E5:E14,"Ja",F5:F14,"&lt;&gt;Ja")=0,"Ja","Nej: bekräfta att skriptet startade före Publish och att märket inte låg på sidan")</f>
        <v>Nej: bekräfta att skriptet startade före Publish och att märket inte låg på sidan</v>
      </c>
    </row>
    <row r="26" customFormat="false" ht="15" hidden="false" customHeight="false" outlineLevel="0" collapsed="false">
      <c r="A26" s="8" t="s">
        <v>39</v>
      </c>
      <c r="B26" s="10" t="str">
        <f aca="false">IF(B19=0,"Ingen körning med övre gräns",IF(B21&lt;=B17,"Under kravet","Över kravet"))</f>
        <v>Under kravet</v>
      </c>
    </row>
    <row r="27" customFormat="false" ht="23.85" hidden="false" customHeight="false" outlineLevel="0" collapsed="false">
      <c r="A27" s="8" t="s">
        <v>40</v>
      </c>
      <c r="B27" s="10" t="str">
        <f aca="false">IF(B19&lt;B18,"Nej: färre än "&amp;B18&amp;" körningar","Ja")</f>
        <v>Nej: färre än 5 körningar</v>
      </c>
    </row>
  </sheetData>
  <dataValidations count="2">
    <dataValidation allowBlank="true" errorStyle="stop" operator="between" showDropDown="false" showErrorMessage="false" showInputMessage="false" sqref="D5:D14" type="list">
      <formula1>"Klockan före Publish,Enter-metoden,Sanity _updatedAt"</formula1>
      <formula2>0</formula2>
    </dataValidation>
    <dataValidation allowBlank="true" errorStyle="stop" operator="between" showDropDown="false" showErrorMessage="false" showInputMessage="false" sqref="F5:F14" type="list">
      <formula1>"Ja,Nej,Ej bekräftad"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4" min="3" style="0" width="16"/>
    <col collapsed="false" customWidth="true" hidden="false" outlineLevel="0" max="5" min="5" style="0" width="12"/>
  </cols>
  <sheetData>
    <row r="1" customFormat="false" ht="17.35" hidden="false" customHeight="false" outlineLevel="0" collapsed="false">
      <c r="A1" s="1" t="s">
        <v>41</v>
      </c>
    </row>
    <row r="3" customFormat="false" ht="42" hidden="false" customHeight="true" outlineLevel="0" collapsed="false">
      <c r="A3" s="3" t="s">
        <v>2</v>
      </c>
      <c r="B3" s="3" t="s">
        <v>3</v>
      </c>
      <c r="C3" s="3" t="s">
        <v>42</v>
      </c>
      <c r="D3" s="3" t="s">
        <v>43</v>
      </c>
      <c r="E3" s="3" t="s">
        <v>44</v>
      </c>
    </row>
    <row r="4" customFormat="false" ht="15" hidden="false" customHeight="false" outlineLevel="0" collapsed="false">
      <c r="A4" s="13" t="n">
        <v>1</v>
      </c>
      <c r="B4" s="13" t="s">
        <v>11</v>
      </c>
      <c r="C4" s="13" t="n">
        <v>195</v>
      </c>
      <c r="D4" s="13" t="n">
        <v>46</v>
      </c>
      <c r="E4" s="8" t="n">
        <f aca="false">D4-C4</f>
        <v>-149</v>
      </c>
    </row>
    <row r="5" customFormat="false" ht="15" hidden="false" customHeight="false" outlineLevel="0" collapsed="false">
      <c r="A5" s="13" t="n">
        <v>2</v>
      </c>
      <c r="B5" s="13" t="s">
        <v>17</v>
      </c>
      <c r="C5" s="13" t="n">
        <v>5</v>
      </c>
      <c r="D5" s="13" t="n">
        <v>18</v>
      </c>
      <c r="E5" s="8" t="n">
        <f aca="false">D5-C5</f>
        <v>13</v>
      </c>
    </row>
    <row r="6" customFormat="false" ht="15" hidden="false" customHeight="false" outlineLevel="0" collapsed="false">
      <c r="A6" s="13" t="n">
        <v>3</v>
      </c>
      <c r="B6" s="13" t="s">
        <v>20</v>
      </c>
      <c r="C6" s="13" t="n">
        <v>3</v>
      </c>
      <c r="D6" s="13" t="n">
        <v>4</v>
      </c>
      <c r="E6" s="8" t="n">
        <f aca="false">D6-C6</f>
        <v>1</v>
      </c>
    </row>
    <row r="7" customFormat="false" ht="15" hidden="false" customHeight="false" outlineLevel="0" collapsed="false">
      <c r="A7" s="13" t="n">
        <v>4</v>
      </c>
      <c r="B7" s="13" t="s">
        <v>21</v>
      </c>
      <c r="C7" s="13" t="n">
        <v>0</v>
      </c>
      <c r="D7" s="13" t="n">
        <v>5</v>
      </c>
      <c r="E7" s="8" t="n">
        <f aca="false">D7-C7</f>
        <v>5</v>
      </c>
    </row>
    <row r="9" customFormat="false" ht="42" hidden="false" customHeight="true" outlineLevel="0" collapsed="false">
      <c r="A9" s="14" t="s">
        <v>45</v>
      </c>
      <c r="B9" s="14"/>
      <c r="C9" s="14"/>
      <c r="D9" s="14"/>
      <c r="E9" s="14"/>
    </row>
  </sheetData>
  <mergeCells count="1">
    <mergeCell ref="A9:E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62"/>
    <col collapsed="false" customWidth="true" hidden="false" outlineLevel="0" max="4" min="4" style="0" width="10"/>
  </cols>
  <sheetData>
    <row r="1" customFormat="false" ht="17.35" hidden="false" customHeight="false" outlineLevel="0" collapsed="false">
      <c r="A1" s="1" t="s">
        <v>46</v>
      </c>
    </row>
    <row r="3" customFormat="false" ht="15" hidden="false" customHeight="false" outlineLevel="0" collapsed="false">
      <c r="A3" s="15" t="s">
        <v>47</v>
      </c>
      <c r="B3" s="15" t="s">
        <v>48</v>
      </c>
      <c r="C3" s="15" t="s">
        <v>49</v>
      </c>
      <c r="D3" s="15" t="s">
        <v>39</v>
      </c>
    </row>
    <row r="4" customFormat="false" ht="23.85" hidden="false" customHeight="false" outlineLevel="0" collapsed="false">
      <c r="A4" s="16" t="n">
        <v>1</v>
      </c>
      <c r="B4" s="16" t="s">
        <v>50</v>
      </c>
      <c r="C4" s="16" t="s">
        <v>51</v>
      </c>
      <c r="D4" s="16" t="s">
        <v>52</v>
      </c>
    </row>
    <row r="5" customFormat="false" ht="23.85" hidden="false" customHeight="false" outlineLevel="0" collapsed="false">
      <c r="A5" s="16" t="n">
        <v>2</v>
      </c>
      <c r="B5" s="16" t="s">
        <v>53</v>
      </c>
      <c r="C5" s="16" t="s">
        <v>54</v>
      </c>
      <c r="D5" s="16" t="s">
        <v>52</v>
      </c>
    </row>
    <row r="6" customFormat="false" ht="23.85" hidden="false" customHeight="false" outlineLevel="0" collapsed="false">
      <c r="A6" s="16" t="n">
        <v>3</v>
      </c>
      <c r="B6" s="16" t="s">
        <v>55</v>
      </c>
      <c r="C6" s="16" t="s">
        <v>56</v>
      </c>
      <c r="D6" s="16" t="s">
        <v>52</v>
      </c>
    </row>
    <row r="7" customFormat="false" ht="23.85" hidden="false" customHeight="false" outlineLevel="0" collapsed="false">
      <c r="A7" s="16" t="n">
        <v>4</v>
      </c>
      <c r="B7" s="16" t="s">
        <v>57</v>
      </c>
      <c r="C7" s="16" t="s">
        <v>58</v>
      </c>
      <c r="D7" s="16" t="s">
        <v>52</v>
      </c>
    </row>
    <row r="8" customFormat="false" ht="15" hidden="false" customHeight="false" outlineLevel="0" collapsed="false">
      <c r="A8" s="16" t="n">
        <v>5</v>
      </c>
      <c r="B8" s="16" t="s">
        <v>59</v>
      </c>
      <c r="C8" s="16" t="s">
        <v>60</v>
      </c>
      <c r="D8" s="16"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61</v>
      </c>
    </row>
    <row r="3" customFormat="false" ht="23.85" hidden="false" customHeight="false" outlineLevel="0" collapsed="false">
      <c r="A3" s="17" t="s">
        <v>62</v>
      </c>
    </row>
    <row r="4" customFormat="false" ht="23.85" hidden="false" customHeight="false" outlineLevel="0" collapsed="false">
      <c r="A4" s="17" t="s">
        <v>63</v>
      </c>
    </row>
    <row r="5" customFormat="false" ht="23.85" hidden="false" customHeight="false" outlineLevel="0" collapsed="false">
      <c r="A5" s="17" t="s">
        <v>64</v>
      </c>
    </row>
    <row r="6" customFormat="false" ht="23.85" hidden="false" customHeight="false" outlineLevel="0" collapsed="false">
      <c r="A6" s="17" t="s">
        <v>65</v>
      </c>
    </row>
    <row r="7" customFormat="false" ht="23.85" hidden="false" customHeight="false" outlineLevel="0" collapsed="false">
      <c r="A7" s="17" t="s">
        <v>66</v>
      </c>
    </row>
    <row r="8" customFormat="false" ht="23.85" hidden="false" customHeight="false" outlineLevel="0" collapsed="false">
      <c r="A8" s="17" t="s">
        <v>67</v>
      </c>
    </row>
    <row r="9" customFormat="false" ht="15" hidden="false" customHeight="false" outlineLevel="0" collapsed="false">
      <c r="A9" s="17" t="s">
        <v>68</v>
      </c>
    </row>
    <row r="10" customFormat="false" ht="15" hidden="false" customHeight="false" outlineLevel="0" collapsed="false">
      <c r="A10" s="17"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2026-10-12T12:24:14Z</dcterms:created>
  <dc:creator>openpyxl</dc:creator>
  <dc:description/>
  <dc:language>en-US</dc:language>
  <cp:lastModifiedBy/>
  <dcterms:modified xsi:type="dcterms:W3CDTF">2026-10-12T12:24:14Z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